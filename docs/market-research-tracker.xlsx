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Funnel Summary" sheetId="2" state="visible" r:id="rId2"/>
    <sheet name="Phases (read m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A5F"/>
      <sz val="16"/>
    </font>
    <font>
      <b val="1"/>
      <color rgb="00FFFFFF"/>
      <sz val="11"/>
    </font>
    <font>
      <b val="1"/>
      <color rgb="00FFFFFF"/>
    </font>
    <font>
      <b val="1"/>
      <color rgb="001F3A5F"/>
    </font>
    <font>
      <color rgb="0064748B"/>
    </font>
    <font>
      <b val="1"/>
      <color rgb="00FFFFFF"/>
      <sz val="13"/>
    </font>
    <font>
      <b val="1"/>
      <color rgb="0010B981"/>
      <sz val="12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563EB"/>
      </patternFill>
    </fill>
    <fill>
      <patternFill patternType="solid">
        <fgColor rgb="00E7F7F1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/>
    </xf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4" fillId="4" borderId="0" pivotButton="0" quotePrefix="0" xfId="0"/>
    <xf numFmtId="9" fontId="0" fillId="4" borderId="0" applyAlignment="1" pivotButton="0" quotePrefix="0" xfId="0">
      <alignment horizontal="center"/>
    </xf>
    <xf numFmtId="0" fontId="5" fillId="4" borderId="0" applyAlignment="1" pivotButton="0" quotePrefix="0" xfId="0">
      <alignment vertical="top" wrapText="1"/>
    </xf>
    <xf numFmtId="0" fontId="3" fillId="5" borderId="0" pivotButton="0" quotePrefix="0" xfId="0"/>
    <xf numFmtId="0" fontId="6" fillId="5" borderId="0" applyAlignment="1" pivotButton="0" quotePrefix="0" xfId="0">
      <alignment horizontal="center"/>
    </xf>
    <xf numFmtId="0" fontId="3" fillId="5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1" applyAlignment="1" pivotButton="0" quotePrefix="0" xfId="0">
      <alignment vertical="top" wrapText="1"/>
    </xf>
    <xf numFmtId="0" fontId="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20" customWidth="1" min="4" max="4"/>
    <col width="18" customWidth="1" min="5" max="5"/>
    <col width="10" customWidth="1" min="6" max="6"/>
    <col width="11" customWidth="1" min="7" max="7"/>
    <col width="22" customWidth="1" min="8" max="8"/>
    <col width="14" customWidth="1" min="9" max="9"/>
    <col width="11" customWidth="1" min="10" max="10"/>
    <col width="22" customWidth="1" min="11" max="11"/>
    <col width="15" customWidth="1" min="12" max="12"/>
    <col width="11" customWidth="1" min="13" max="13"/>
    <col width="11" customWidth="1" min="14" max="14"/>
    <col width="22" customWidth="1" min="15" max="15"/>
    <col width="14" customWidth="1" min="16" max="16"/>
    <col width="30" customWidth="1" min="17" max="17"/>
    <col width="14" customWidth="1" min="18" max="18"/>
    <col width="44" customWidth="1" min="19" max="19"/>
  </cols>
  <sheetData>
    <row r="1" ht="26" customHeight="1">
      <c r="A1" s="1" t="inlineStr">
        <is>
          <t>Market Research Tracker — Hiring Deepfake-Fraud Wedge</t>
        </is>
      </c>
    </row>
    <row r="2" ht="30" customHeight="1">
      <c r="A2" s="2" t="inlineStr">
        <is>
          <t>#</t>
        </is>
      </c>
      <c r="B2" s="2" t="inlineStr">
        <is>
          <t>Date contacted</t>
        </is>
      </c>
      <c r="C2" s="2" t="inlineStr">
        <is>
          <t>Name</t>
        </is>
      </c>
      <c r="D2" s="2" t="inlineStr">
        <is>
          <t>Role</t>
        </is>
      </c>
      <c r="E2" s="2" t="inlineStr">
        <is>
          <t>Company</t>
        </is>
      </c>
      <c r="F2" s="2" t="inlineStr">
        <is>
          <t>Size</t>
        </is>
      </c>
      <c r="G2" s="2" t="inlineStr">
        <is>
          <t>Channel</t>
        </is>
      </c>
      <c r="H2" s="2" t="inlineStr">
        <is>
          <t>Stage</t>
        </is>
      </c>
      <c r="I2" s="2" t="inlineStr">
        <is>
          <t>Pain?</t>
        </is>
      </c>
      <c r="J2" s="2" t="inlineStr">
        <is>
          <t>Severity 1-5</t>
        </is>
      </c>
      <c r="K2" s="2" t="inlineStr">
        <is>
          <t>Current verification spend</t>
        </is>
      </c>
      <c r="L2" s="2" t="inlineStr">
        <is>
          <t>Would pay?</t>
        </is>
      </c>
      <c r="M2" s="2" t="inlineStr">
        <is>
          <t>Survey sent</t>
        </is>
      </c>
      <c r="N2" s="2" t="inlineStr">
        <is>
          <t>Survey done</t>
        </is>
      </c>
      <c r="O2" s="2" t="inlineStr">
        <is>
          <t>Pilot email</t>
        </is>
      </c>
      <c r="P2" s="2" t="inlineStr">
        <is>
          <t>Referral?</t>
        </is>
      </c>
      <c r="Q2" s="2" t="inlineStr">
        <is>
          <t>Next action</t>
        </is>
      </c>
      <c r="R2" s="2" t="inlineStr">
        <is>
          <t>Follow-up date</t>
        </is>
      </c>
      <c r="S2" s="2" t="inlineStr">
        <is>
          <t>Notes</t>
        </is>
      </c>
    </row>
    <row r="3">
      <c r="A3" s="3" t="n">
        <v>1</v>
      </c>
      <c r="B3" s="3" t="inlineStr">
        <is>
          <t>2026-06-19</t>
        </is>
      </c>
      <c r="C3" s="3" t="inlineStr">
        <is>
          <t>Vinay Pasricha</t>
        </is>
      </c>
      <c r="D3" s="3" t="inlineStr">
        <is>
          <t>Hiring / talent (connection)</t>
        </is>
      </c>
      <c r="E3" s="3" t="inlineStr"/>
      <c r="F3" s="3" t="inlineStr"/>
      <c r="G3" s="3" t="inlineStr">
        <is>
          <t>LinkedIn</t>
        </is>
      </c>
      <c r="H3" s="3" t="inlineStr">
        <is>
          <t>Replied: not interested</t>
        </is>
      </c>
      <c r="I3" s="3" t="inlineStr">
        <is>
          <t>No</t>
        </is>
      </c>
      <c r="J3" s="3" t="inlineStr"/>
      <c r="K3" s="3" t="inlineStr"/>
      <c r="L3" s="3" t="inlineStr">
        <is>
          <t>Unknown</t>
        </is>
      </c>
      <c r="M3" s="3" t="inlineStr">
        <is>
          <t>N</t>
        </is>
      </c>
      <c r="N3" s="3" t="inlineStr">
        <is>
          <t>N</t>
        </is>
      </c>
      <c r="O3" s="3" t="inlineStr"/>
      <c r="P3" s="3" t="inlineStr">
        <is>
          <t>Asked</t>
        </is>
      </c>
      <c r="Q3" s="3" t="inlineStr">
        <is>
          <t>Sent referral ask — see if he names anyone in junior/remote tech hiring</t>
        </is>
      </c>
      <c r="R3" s="3" t="inlineStr">
        <is>
          <t>2026-06-23</t>
        </is>
      </c>
      <c r="S3" s="3" t="inlineStr">
        <is>
          <t>Hasn't experienced it; hypothesis: 'happens in junior tech roles'. Warm, replied in 2 min, called me 'a good man'. Logged as targeting clue.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</row>
    <row r="23">
      <c r="A23" s="3" t="n">
        <v>21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</row>
    <row r="24">
      <c r="A24" s="3" t="n">
        <v>22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</row>
    <row r="25">
      <c r="A25" s="3" t="n">
        <v>23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</row>
    <row r="26">
      <c r="A26" s="3" t="n">
        <v>24</v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3" t="n">
        <v>25</v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3" t="n">
        <v>26</v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</row>
    <row r="29">
      <c r="A29" s="3" t="n">
        <v>27</v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</row>
    <row r="30">
      <c r="A30" s="3" t="n">
        <v>28</v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3" t="n">
        <v>29</v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3" t="n">
        <v>30</v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</row>
    <row r="33">
      <c r="A33" s="3" t="n">
        <v>31</v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</row>
    <row r="34">
      <c r="A34" s="3" t="n">
        <v>32</v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</row>
    <row r="35">
      <c r="A35" s="3" t="n">
        <v>33</v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3" t="n">
        <v>34</v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3" t="n">
        <v>35</v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</row>
    <row r="38">
      <c r="A38" s="3" t="n">
        <v>36</v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3" t="n">
        <v>37</v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3" t="n">
        <v>38</v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</row>
    <row r="41">
      <c r="A41" s="3" t="n">
        <v>39</v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</row>
    <row r="42">
      <c r="A42" s="3" t="n">
        <v>40</v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</row>
    <row r="43">
      <c r="A43" s="3" t="n">
        <v>41</v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</row>
    <row r="44">
      <c r="A44" s="3" t="n">
        <v>42</v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</row>
    <row r="45">
      <c r="A45" s="3" t="n">
        <v>43</v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3" t="n">
        <v>44</v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3" t="n">
        <v>45</v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</row>
    <row r="48">
      <c r="A48" s="3" t="n">
        <v>46</v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</row>
    <row r="49">
      <c r="A49" s="3" t="n">
        <v>47</v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3" t="n">
        <v>48</v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3" t="n">
        <v>49</v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</row>
    <row r="52">
      <c r="A52" s="3" t="n">
        <v>50</v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</row>
    <row r="53">
      <c r="A53" s="3" t="n">
        <v>51</v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</row>
    <row r="54">
      <c r="A54" s="3" t="n">
        <v>52</v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3" t="n">
        <v>53</v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3" t="n">
        <v>54</v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</row>
    <row r="57">
      <c r="A57" s="3" t="n">
        <v>55</v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</row>
    <row r="58">
      <c r="A58" s="3" t="n">
        <v>56</v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</row>
    <row r="59">
      <c r="A59" s="3" t="n">
        <v>57</v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</row>
    <row r="60">
      <c r="A60" s="3" t="n">
        <v>58</v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</row>
    <row r="61">
      <c r="A61" s="3" t="n">
        <v>59</v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</row>
    <row r="62">
      <c r="A62" s="3" t="n">
        <v>60</v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</row>
    <row r="63">
      <c r="A63" s="3" t="n">
        <v>61</v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</sheetData>
  <mergeCells count="1">
    <mergeCell ref="A1:S1"/>
  </mergeCells>
  <dataValidations count="8">
    <dataValidation sqref="H3:H63" showDropDown="0" showInputMessage="0" showErrorMessage="0" allowBlank="1" type="list">
      <formula1>"To contact,Messaged,Followed up,No reply,Replied: not interested,Replied: interested,Survey sent,Survey completed,Pilot lead"</formula1>
    </dataValidation>
    <dataValidation sqref="I3:I63" showDropDown="0" showInputMessage="0" showErrorMessage="0" allowBlank="1" type="list">
      <formula1>"Caught,Suspected,No,Unknown"</formula1>
    </dataValidation>
    <dataValidation sqref="J3:J63" showDropDown="0" showInputMessage="0" showErrorMessage="0" allowBlank="1" type="list">
      <formula1>"1,2,3,4,5"</formula1>
    </dataValidation>
    <dataValidation sqref="L3:L63" showDropDown="0" showInputMessage="0" showErrorMessage="0" allowBlank="1" type="list">
      <formula1>"Yes,Maybe,No,Not their budget,Unknown"</formula1>
    </dataValidation>
    <dataValidation sqref="M3:M63" showDropDown="0" showInputMessage="0" showErrorMessage="0" allowBlank="1" type="list">
      <formula1>"Y,N"</formula1>
    </dataValidation>
    <dataValidation sqref="N3:N63" showDropDown="0" showInputMessage="0" showErrorMessage="0" allowBlank="1" type="list">
      <formula1>"Y,N"</formula1>
    </dataValidation>
    <dataValidation sqref="P3:P63" showDropDown="0" showInputMessage="0" showErrorMessage="0" allowBlank="1" type="list">
      <formula1>"Asked,Given,No"</formula1>
    </dataValidation>
    <dataValidation sqref="G3:G63" showDropDown="0" showInputMessage="0" showErrorMessage="0" allowBlank="1" type="list">
      <formula1>"LinkedIn,Email,Reddit,Intro,Other"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2" customWidth="1" min="3" max="3"/>
  </cols>
  <sheetData>
    <row r="1" ht="24" customHeight="1">
      <c r="A1" s="1" t="inlineStr">
        <is>
          <t>Funnel Summary  (updates automatically as you fill the Tracker)</t>
        </is>
      </c>
    </row>
    <row r="3" ht="20" customHeight="1">
      <c r="A3" s="4" t="inlineStr">
        <is>
          <t>Pipeline by stage</t>
        </is>
      </c>
    </row>
    <row r="4">
      <c r="A4" s="5" t="inlineStr">
        <is>
          <t>To contact</t>
        </is>
      </c>
      <c r="B4" s="6">
        <f>COUNTIF(Tracker!H3:H63,"To contact")</f>
        <v/>
      </c>
      <c r="C4" s="7" t="inlineStr"/>
    </row>
    <row r="5">
      <c r="A5" s="5" t="inlineStr">
        <is>
          <t>Messaged</t>
        </is>
      </c>
      <c r="B5" s="6">
        <f>COUNTIF(Tracker!H3:H63,"Messaged")</f>
        <v/>
      </c>
      <c r="C5" s="7" t="inlineStr"/>
    </row>
    <row r="6">
      <c r="A6" s="5" t="inlineStr">
        <is>
          <t>Followed up</t>
        </is>
      </c>
      <c r="B6" s="6">
        <f>COUNTIF(Tracker!H3:H63,"Followed up")</f>
        <v/>
      </c>
      <c r="C6" s="7" t="inlineStr"/>
    </row>
    <row r="7">
      <c r="A7" s="5" t="inlineStr">
        <is>
          <t>No reply</t>
        </is>
      </c>
      <c r="B7" s="6">
        <f>COUNTIF(Tracker!H3:H63,"No reply")</f>
        <v/>
      </c>
      <c r="C7" s="7" t="inlineStr"/>
    </row>
    <row r="8">
      <c r="A8" s="5" t="inlineStr">
        <is>
          <t>Replied: not interested</t>
        </is>
      </c>
      <c r="B8" s="6">
        <f>COUNTIF(Tracker!H3:H63,"Replied: not interested")</f>
        <v/>
      </c>
      <c r="C8" s="7" t="inlineStr"/>
    </row>
    <row r="9">
      <c r="A9" s="5" t="inlineStr">
        <is>
          <t>Replied: interested</t>
        </is>
      </c>
      <c r="B9" s="6">
        <f>COUNTIF(Tracker!H3:H63,"Replied: interested")</f>
        <v/>
      </c>
      <c r="C9" s="7" t="inlineStr"/>
    </row>
    <row r="10">
      <c r="A10" s="5" t="inlineStr">
        <is>
          <t>Survey sent</t>
        </is>
      </c>
      <c r="B10" s="6">
        <f>COUNTIF(Tracker!H3:H63,"Survey sent")</f>
        <v/>
      </c>
      <c r="C10" s="7" t="inlineStr"/>
    </row>
    <row r="11">
      <c r="A11" s="5" t="inlineStr">
        <is>
          <t>Survey completed</t>
        </is>
      </c>
      <c r="B11" s="6">
        <f>COUNTIF(Tracker!H3:H63,"Survey completed")</f>
        <v/>
      </c>
      <c r="C11" s="7" t="inlineStr"/>
    </row>
    <row r="12">
      <c r="A12" s="5" t="inlineStr">
        <is>
          <t>Pilot lead</t>
        </is>
      </c>
      <c r="B12" s="6">
        <f>COUNTIF(Tracker!H3:H63,"Pilot lead")</f>
        <v/>
      </c>
      <c r="C12" s="7" t="inlineStr"/>
    </row>
    <row r="13"/>
    <row r="14" ht="20" customHeight="1">
      <c r="A14" s="4" t="inlineStr">
        <is>
          <t>The 3 numbers that decide GO / NO-GO</t>
        </is>
      </c>
    </row>
    <row r="15">
      <c r="A15" s="5" t="inlineStr">
        <is>
          <t>People contacted</t>
        </is>
      </c>
      <c r="B15" s="6">
        <f>COUNTIF(Tracker!H3:H63,"&lt;&gt;")-COUNTIF(Tracker!H3:H63,"To contact")</f>
        <v/>
      </c>
      <c r="C15" s="7" t="inlineStr">
        <is>
          <t>Anyone past 'To contact'.</t>
        </is>
      </c>
    </row>
    <row r="16">
      <c r="A16" s="5" t="inlineStr">
        <is>
          <t>Replies</t>
        </is>
      </c>
      <c r="B16" s="6">
        <f>COUNTIF(Tracker!H3:H63,"Replied: not interested")+COUNTIF(Tracker!H3:H63,"Replied: interested")+COUNTIF(Tracker!H3:H63,"Survey sent")+COUNTIF(Tracker!H3:H63,"Survey completed")+COUNTIF(Tracker!H3:H63,"Pilot lead")</f>
        <v/>
      </c>
      <c r="C16" s="7" t="inlineStr">
        <is>
          <t>Reply rate = replies / contacted.</t>
        </is>
      </c>
    </row>
    <row r="17">
      <c r="A17" s="8" t="inlineStr">
        <is>
          <t>% who caught/suspected a fake</t>
        </is>
      </c>
      <c r="B17" s="9">
        <f>IFERROR((COUNTIF(Tracker!I3:I63,"Caught")+COUNTIF(Tracker!I3:I63,"Suspected"))/MAX(1,COUNTIF(Tracker!H3:H63,"&lt;&gt;")-COUNTIF(Tracker!H3:H63,"To contact")),0)</f>
        <v/>
      </c>
      <c r="C17" s="10" t="inlineStr">
        <is>
          <t>GO bar: &gt;= 40%  -&gt;  pain is real.</t>
        </is>
      </c>
    </row>
    <row r="18">
      <c r="A18" s="8" t="inlineStr">
        <is>
          <t>% who would pay (said Yes)</t>
        </is>
      </c>
      <c r="B18" s="9">
        <f>IFERROR(COUNTIF(Tracker!L3:L63,"Yes")/MAX(1,COUNTIF(Tracker!H3:H63,"&lt;&gt;")-COUNTIF(Tracker!H3:H63,"To contact")),0)</f>
        <v/>
      </c>
      <c r="C18" s="10" t="inlineStr">
        <is>
          <t>GO bar: &gt;= 30%  (directional only — stated, weak signal).</t>
        </is>
      </c>
    </row>
    <row r="19">
      <c r="A19" s="11" t="inlineStr">
        <is>
          <t>PILOT LEADS (emails captured)</t>
        </is>
      </c>
      <c r="B19" s="12">
        <f>COUNTIF(Tracker!O3:O63,"?@?*")</f>
        <v/>
      </c>
      <c r="C19" s="13" t="inlineStr">
        <is>
          <t>THE REAL SIGNAL. GO bar: &gt;= 5-8 from 50. Weight this 10x.</t>
        </is>
      </c>
    </row>
    <row r="20"/>
    <row r="21" ht="20" customHeight="1">
      <c r="A21" s="4" t="inlineStr">
        <is>
          <t>Survey funnel</t>
        </is>
      </c>
    </row>
    <row r="22">
      <c r="A22" s="5" t="inlineStr">
        <is>
          <t>Survey sent</t>
        </is>
      </c>
      <c r="B22" s="6">
        <f>COUNTIF(Tracker!M3:M63,"Y")</f>
        <v/>
      </c>
      <c r="C22" s="7" t="inlineStr"/>
    </row>
    <row r="23">
      <c r="A23" s="5" t="inlineStr">
        <is>
          <t>Survey completed</t>
        </is>
      </c>
      <c r="B23" s="6">
        <f>COUNTIF(Tracker!N3:N63,"Y")</f>
        <v/>
      </c>
      <c r="C23" s="7" t="inlineStr"/>
    </row>
    <row r="24"/>
  </sheetData>
  <mergeCells count="4">
    <mergeCell ref="A1:C1"/>
    <mergeCell ref="A14:C14"/>
    <mergeCell ref="A3:C3"/>
    <mergeCell ref="A21:C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 ht="24" customHeight="1">
      <c r="A1" s="1" t="inlineStr">
        <is>
          <t>The phases — what each Stage means, and what to do next</t>
        </is>
      </c>
    </row>
    <row r="2">
      <c r="A2" s="14" t="inlineStr">
        <is>
          <t>Stage</t>
        </is>
      </c>
      <c r="B2" s="14" t="inlineStr">
        <is>
          <t>Meaning &amp; next action</t>
        </is>
      </c>
    </row>
    <row r="3" ht="30" customHeight="1">
      <c r="A3" s="15" t="inlineStr">
        <is>
          <t>To contact</t>
        </is>
      </c>
      <c r="B3" s="3" t="inlineStr">
        <is>
          <t>On your list, not yet messaged. -&gt; Send opening message (no link).</t>
        </is>
      </c>
    </row>
    <row r="4" ht="30" customHeight="1">
      <c r="A4" s="15" t="inlineStr">
        <is>
          <t>Messaged</t>
        </is>
      </c>
      <c r="B4" s="3" t="inlineStr">
        <is>
          <t>Sent the opening message. -&gt; Wait ~4 days for a reply.</t>
        </is>
      </c>
    </row>
    <row r="5" ht="30" customHeight="1">
      <c r="A5" s="15" t="inlineStr">
        <is>
          <t>Followed up</t>
        </is>
      </c>
      <c r="B5" s="3" t="inlineStr">
        <is>
          <t>Sent the one allowed follow-up. -&gt; If still silent in a few days, mark 'No reply'.</t>
        </is>
      </c>
    </row>
    <row r="6" ht="30" customHeight="1">
      <c r="A6" s="15" t="inlineStr">
        <is>
          <t>No reply</t>
        </is>
      </c>
      <c r="B6" s="3" t="inlineStr">
        <is>
          <t>Never responded after follow-up. Dead end — move on.</t>
        </is>
      </c>
    </row>
    <row r="7" ht="30" customHeight="1">
      <c r="A7" s="15" t="inlineStr">
        <is>
          <t>Replied: not interested</t>
        </is>
      </c>
      <c r="B7" s="3" t="inlineStr">
        <is>
          <t>Replied but no pain / not their problem (e.g. Vinay). STILL ask for a referral + log any clue. Then move on.</t>
        </is>
      </c>
    </row>
    <row r="8" ht="30" customHeight="1">
      <c r="A8" s="15" t="inlineStr">
        <is>
          <t>Replied: interested</t>
        </is>
      </c>
      <c r="B8" s="3" t="inlineStr">
        <is>
          <t>Engaged / sees the problem. -&gt; Send the bridge message with the SURVEY LINK.</t>
        </is>
      </c>
    </row>
    <row r="9" ht="30" customHeight="1">
      <c r="A9" s="15" t="inlineStr">
        <is>
          <t>Survey sent</t>
        </is>
      </c>
      <c r="B9" s="3" t="inlineStr">
        <is>
          <t>Survey link delivered. -&gt; Nudge once if not done in ~5 days.</t>
        </is>
      </c>
    </row>
    <row r="10" ht="30" customHeight="1">
      <c r="A10" s="15" t="inlineStr">
        <is>
          <t>Survey completed</t>
        </is>
      </c>
      <c r="B10" s="3" t="inlineStr">
        <is>
          <t>They filled it out. Read their answers — especially 'would pay' + objections.</t>
        </is>
      </c>
    </row>
    <row r="11" ht="30" customHeight="1">
      <c r="A11" s="15" t="inlineStr">
        <is>
          <t>Pilot lead</t>
        </is>
      </c>
      <c r="B11" s="3" t="inlineStr">
        <is>
          <t>Left an email for a paid pilot / early access. THE WIN. Treat as a warm lead — keep them updated.</t>
        </is>
      </c>
    </row>
    <row r="14">
      <c r="A14" s="16" t="inlineStr">
        <is>
          <t>GOAL</t>
        </is>
      </c>
      <c r="B14" s="17" t="inlineStr">
        <is>
          <t>Message ~50-100 people. Target outcome: ~25-40 completed surveys and 5-8 pilot-email leads.
DECISION: 5-8+ people leaving an email to pilot a PAID product = real demand -&gt; build.
Lots of 'cool!' but no emails = hollow -&gt; change buyer or wedge. Either way you learn cheaply.</t>
        </is>
      </c>
    </row>
    <row r="15"/>
    <row r="16"/>
  </sheetData>
  <mergeCells count="2">
    <mergeCell ref="B14:B16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2026-06-19T14:58:00Z</dcterms:created>
  <dcterms:modified xsi:type="dcterms:W3CDTF">2026-06-19T14:58:00Z</dcterms:modified>
</cp:coreProperties>
</file>